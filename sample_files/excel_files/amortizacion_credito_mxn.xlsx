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ortización" sheetId="1" r:id="rId4"/>
  </sheets>
  <definedNames/>
  <calcPr/>
  <extLst>
    <ext uri="GoogleSheetsCustomDataVersion2">
      <go:sheetsCustomData xmlns:go="http://customooxmlschemas.google.com/" r:id="rId5" roundtripDataChecksum="jcXlb4asPd+ndsfFxjI1dqsYBuNQGMm0IEhM26Z5Lec="/>
    </ext>
  </extLst>
</workbook>
</file>

<file path=xl/sharedStrings.xml><?xml version="1.0" encoding="utf-8"?>
<sst xmlns="http://schemas.openxmlformats.org/spreadsheetml/2006/main" count="35" uniqueCount="34">
  <si>
    <t>TABLA DE AMORTIZACIÓN — CRÉDITO EMPRESARIAL MXN</t>
  </si>
  <si>
    <t>Método de Cuota Fija (Sistema Francés)  |  Pesos Mexicanos (MXN)</t>
  </si>
  <si>
    <t>PARÁMETROS DEL CRÉDITO</t>
  </si>
  <si>
    <t>Monto del crédito (MXN):</t>
  </si>
  <si>
    <t>Hardcoded input — cambiar según préstamo</t>
  </si>
  <si>
    <t>Tasa de interés anual:</t>
  </si>
  <si>
    <t>Tasa referencia TIIE 28d + margen ~4 pp (Feb 2026)</t>
  </si>
  <si>
    <t>Plazo (meses):</t>
  </si>
  <si>
    <t>3 años — plazo típico PyME</t>
  </si>
  <si>
    <t>Comisión de apertura:</t>
  </si>
  <si>
    <t>~1% sobre monto</t>
  </si>
  <si>
    <t>Fecha de inicio:</t>
  </si>
  <si>
    <t>2026-03-01</t>
  </si>
  <si>
    <t>Tasa mensual:</t>
  </si>
  <si>
    <t>Calculado</t>
  </si>
  <si>
    <t>Pago fijo mensual (MXN):</t>
  </si>
  <si>
    <t>Comisión apertura (MXN):</t>
  </si>
  <si>
    <t>Cobro único al inicio</t>
  </si>
  <si>
    <t>Período</t>
  </si>
  <si>
    <t>Fecha</t>
  </si>
  <si>
    <t>Saldo Inicial
(MXN)</t>
  </si>
  <si>
    <t>Pago Mensual
(MXN)</t>
  </si>
  <si>
    <t>Interés
(MXN)</t>
  </si>
  <si>
    <t>Amortiz. Capital
(MXN)</t>
  </si>
  <si>
    <t>Saldo Final
(MXN)</t>
  </si>
  <si>
    <t>% Capital
Pagado</t>
  </si>
  <si>
    <t>Interés
Acumulado
(MXN)</t>
  </si>
  <si>
    <t>TOTAL</t>
  </si>
  <si>
    <t>RESUMEN DEL CRÉDITO</t>
  </si>
  <si>
    <t>Total pagado (capital + interés):</t>
  </si>
  <si>
    <t>Total interés pagado:</t>
  </si>
  <si>
    <t>Costo financiero total (%):</t>
  </si>
  <si>
    <t>Comisión apertura:</t>
  </si>
  <si>
    <t>Costo total del financiamiento: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</si>
</sst>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$#,##0.00"/>
    <numFmt numFmtId="165" formatCode="mmm\-yyyy"/>
    <numFmt numFmtId="166" formatCode="0.0%"/>
  </numFmts>
  <fonts count="11">
    <font>
      <sz val="11.0"/>
      <color theme="1"/>
      <name val="Calibri"/>
      <scheme val="minor"/>
    </font>
    <font>
      <b/>
      <sz val="14.0"/>
      <color rgb="FF1F4E79"/>
      <name val="Arial"/>
    </font>
    <font>
      <i/>
      <sz val="10.0"/>
      <color rgb="FF555555"/>
      <name val="Arial"/>
    </font>
    <font>
      <b/>
      <sz val="10.0"/>
      <color rgb="FFFFFFFF"/>
      <name val="Arial"/>
    </font>
    <font/>
    <font>
      <b/>
      <sz val="10.0"/>
      <color rgb="FF1F2D3D"/>
      <name val="Arial"/>
    </font>
    <font>
      <sz val="10.0"/>
      <color rgb="FF0000FF"/>
      <name val="Arial"/>
    </font>
    <font>
      <i/>
      <sz val="9.0"/>
      <color rgb="FF666666"/>
      <name val="Arial"/>
    </font>
    <font>
      <sz val="10.0"/>
      <color rgb="FF1F2D3D"/>
      <name val="Arial"/>
    </font>
    <font>
      <sz val="11.0"/>
      <color theme="1"/>
      <name val="Calibri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  <fill>
      <patternFill patternType="solid">
        <fgColor rgb="FF1F4E79"/>
        <bgColor rgb="FF1F4E79"/>
      </patternFill>
    </fill>
    <fill>
      <patternFill patternType="solid">
        <fgColor rgb="FFEBF5FB"/>
        <bgColor rgb="FFEBF5FB"/>
      </patternFill>
    </fill>
    <fill>
      <patternFill patternType="solid">
        <fgColor rgb="FFBDD7EE"/>
        <bgColor rgb="FFBDD7EE"/>
      </patternFill>
    </fill>
  </fills>
  <borders count="5">
    <border/>
    <border>
      <left style="thin">
        <color rgb="FFB0B8C1"/>
      </left>
      <top style="thin">
        <color rgb="FFB0B8C1"/>
      </top>
      <bottom style="thin">
        <color rgb="FFB0B8C1"/>
      </bottom>
    </border>
    <border>
      <top style="thin">
        <color rgb="FFB0B8C1"/>
      </top>
      <bottom style="thin">
        <color rgb="FFB0B8C1"/>
      </bottom>
    </border>
    <border>
      <right/>
      <top style="thin">
        <color rgb="FFB0B8C1"/>
      </top>
      <bottom style="thin">
        <color rgb="FFB0B8C1"/>
      </bottom>
    </border>
    <border>
      <left style="thin">
        <color rgb="FFB0B8C1"/>
      </left>
      <right style="thin">
        <color rgb="FFB0B8C1"/>
      </right>
      <top style="thin">
        <color rgb="FFB0B8C1"/>
      </top>
      <bottom style="thin">
        <color rgb="FFB0B8C1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1" fillId="2" fontId="3" numFmtId="0" xfId="0" applyAlignment="1" applyBorder="1" applyFill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3" fontId="5" numFmtId="0" xfId="0" applyAlignment="1" applyBorder="1" applyFill="1" applyFont="1">
      <alignment horizontal="left" shrinkToFit="0" vertical="center" wrapText="0"/>
    </xf>
    <xf borderId="4" fillId="3" fontId="6" numFmtId="164" xfId="0" applyAlignment="1" applyBorder="1" applyFont="1" applyNumberFormat="1">
      <alignment horizontal="right" shrinkToFit="0" vertical="center" wrapText="0"/>
    </xf>
    <xf borderId="4" fillId="3" fontId="7" numFmtId="0" xfId="0" applyAlignment="1" applyBorder="1" applyFont="1">
      <alignment horizontal="left" shrinkToFit="0" vertical="center" wrapText="0"/>
    </xf>
    <xf borderId="4" fillId="3" fontId="6" numFmtId="10" xfId="0" applyAlignment="1" applyBorder="1" applyFont="1" applyNumberFormat="1">
      <alignment horizontal="right" shrinkToFit="0" vertical="center" wrapText="0"/>
    </xf>
    <xf borderId="4" fillId="3" fontId="6" numFmtId="0" xfId="0" applyAlignment="1" applyBorder="1" applyFont="1">
      <alignment horizontal="right" shrinkToFit="0" vertical="center" wrapText="0"/>
    </xf>
    <xf borderId="4" fillId="3" fontId="8" numFmtId="10" xfId="0" applyAlignment="1" applyBorder="1" applyFont="1" applyNumberFormat="1">
      <alignment horizontal="right" shrinkToFit="0" vertical="center" wrapText="0"/>
    </xf>
    <xf borderId="4" fillId="3" fontId="5" numFmtId="164" xfId="0" applyAlignment="1" applyBorder="1" applyFont="1" applyNumberFormat="1">
      <alignment horizontal="right" shrinkToFit="0" vertical="center" wrapText="0"/>
    </xf>
    <xf borderId="4" fillId="3" fontId="8" numFmtId="164" xfId="0" applyAlignment="1" applyBorder="1" applyFont="1" applyNumberFormat="1">
      <alignment horizontal="right" shrinkToFit="0" vertical="center" wrapText="0"/>
    </xf>
    <xf borderId="4" fillId="4" fontId="3" numFmtId="0" xfId="0" applyAlignment="1" applyBorder="1" applyFill="1" applyFont="1">
      <alignment horizontal="center" shrinkToFit="0" vertical="center" wrapText="1"/>
    </xf>
    <xf borderId="4" fillId="0" fontId="8" numFmtId="0" xfId="0" applyAlignment="1" applyBorder="1" applyFont="1">
      <alignment horizontal="center" shrinkToFit="0" vertical="center" wrapText="0"/>
    </xf>
    <xf borderId="4" fillId="0" fontId="8" numFmtId="165" xfId="0" applyAlignment="1" applyBorder="1" applyFont="1" applyNumberFormat="1">
      <alignment horizontal="center" shrinkToFit="0" vertical="center" wrapText="0"/>
    </xf>
    <xf borderId="4" fillId="0" fontId="8" numFmtId="164" xfId="0" applyAlignment="1" applyBorder="1" applyFont="1" applyNumberFormat="1">
      <alignment horizontal="right" shrinkToFit="0" vertical="center" wrapText="0"/>
    </xf>
    <xf borderId="4" fillId="0" fontId="8" numFmtId="166" xfId="0" applyAlignment="1" applyBorder="1" applyFont="1" applyNumberFormat="1">
      <alignment horizontal="right" shrinkToFit="0" vertical="center" wrapText="0"/>
    </xf>
    <xf borderId="4" fillId="5" fontId="8" numFmtId="0" xfId="0" applyAlignment="1" applyBorder="1" applyFill="1" applyFont="1">
      <alignment horizontal="center" shrinkToFit="0" vertical="center" wrapText="0"/>
    </xf>
    <xf borderId="4" fillId="5" fontId="8" numFmtId="165" xfId="0" applyAlignment="1" applyBorder="1" applyFont="1" applyNumberFormat="1">
      <alignment horizontal="center" shrinkToFit="0" vertical="center" wrapText="0"/>
    </xf>
    <xf borderId="4" fillId="5" fontId="8" numFmtId="164" xfId="0" applyAlignment="1" applyBorder="1" applyFont="1" applyNumberFormat="1">
      <alignment horizontal="right" shrinkToFit="0" vertical="center" wrapText="0"/>
    </xf>
    <xf borderId="4" fillId="5" fontId="8" numFmtId="166" xfId="0" applyAlignment="1" applyBorder="1" applyFont="1" applyNumberFormat="1">
      <alignment horizontal="right" shrinkToFit="0" vertical="center" wrapText="0"/>
    </xf>
    <xf borderId="4" fillId="6" fontId="5" numFmtId="0" xfId="0" applyAlignment="1" applyBorder="1" applyFill="1" applyFont="1">
      <alignment horizontal="center" shrinkToFit="0" vertical="center" wrapText="0"/>
    </xf>
    <xf borderId="4" fillId="6" fontId="9" numFmtId="0" xfId="0" applyAlignment="1" applyBorder="1" applyFont="1">
      <alignment shrinkToFit="0" vertical="bottom" wrapText="0"/>
    </xf>
    <xf borderId="4" fillId="6" fontId="5" numFmtId="164" xfId="0" applyAlignment="1" applyBorder="1" applyFont="1" applyNumberFormat="1">
      <alignment horizontal="right" shrinkToFit="0" vertical="center" wrapText="0"/>
    </xf>
    <xf borderId="0" fillId="0" fontId="10" numFmtId="0" xfId="0" applyFont="1"/>
    <xf borderId="4" fillId="3" fontId="9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5.0" topLeftCell="A16" activePane="bottomLeft" state="frozen"/>
      <selection activeCell="B17" sqref="B17" pane="bottomLeft"/>
    </sheetView>
  </sheetViews>
  <sheetFormatPr customHeight="1" defaultColWidth="14.43" defaultRowHeight="15.0"/>
  <cols>
    <col customWidth="1" min="1" max="1" width="9.0"/>
    <col customWidth="1" min="2" max="2" width="12.0"/>
    <col customWidth="1" min="3" max="4" width="18.0"/>
    <col customWidth="1" min="5" max="5" width="16.0"/>
    <col customWidth="1" min="6" max="6" width="20.0"/>
    <col customWidth="1" min="7" max="7" width="18.0"/>
    <col customWidth="1" min="8" max="8" width="14.0"/>
    <col customWidth="1" min="9" max="9" width="20.0"/>
    <col customWidth="1" min="10" max="26" width="8.71"/>
  </cols>
  <sheetData>
    <row r="1" ht="27.75" customHeight="1">
      <c r="A1" s="1" t="s">
        <v>0</v>
      </c>
    </row>
    <row r="2" ht="18.0" customHeight="1">
      <c r="A2" s="2" t="s">
        <v>1</v>
      </c>
    </row>
    <row r="4" ht="18.0" customHeight="1">
      <c r="A4" s="3" t="s">
        <v>2</v>
      </c>
      <c r="B4" s="4"/>
      <c r="C4" s="5"/>
    </row>
    <row r="5" ht="15.75" customHeight="1">
      <c r="A5" s="6" t="s">
        <v>3</v>
      </c>
      <c r="B5" s="7">
        <v>2000000.0</v>
      </c>
      <c r="C5" s="8" t="s">
        <v>4</v>
      </c>
    </row>
    <row r="6" ht="15.75" customHeight="1">
      <c r="A6" s="6" t="s">
        <v>5</v>
      </c>
      <c r="B6" s="9">
        <v>0.14</v>
      </c>
      <c r="C6" s="8" t="s">
        <v>6</v>
      </c>
    </row>
    <row r="7" ht="15.75" customHeight="1">
      <c r="A7" s="6" t="s">
        <v>7</v>
      </c>
      <c r="B7" s="10">
        <v>36.0</v>
      </c>
      <c r="C7" s="8" t="s">
        <v>8</v>
      </c>
    </row>
    <row r="8" ht="15.75" customHeight="1">
      <c r="A8" s="6" t="s">
        <v>9</v>
      </c>
      <c r="B8" s="9">
        <v>0.01</v>
      </c>
      <c r="C8" s="8" t="s">
        <v>10</v>
      </c>
    </row>
    <row r="9" ht="15.75" customHeight="1">
      <c r="A9" s="6" t="s">
        <v>11</v>
      </c>
      <c r="B9" s="10" t="s">
        <v>12</v>
      </c>
      <c r="C9" s="8"/>
    </row>
    <row r="10" ht="15.75" customHeight="1">
      <c r="A10" s="6" t="s">
        <v>13</v>
      </c>
      <c r="B10" s="11">
        <f>B6/12</f>
        <v>0.01166666667</v>
      </c>
      <c r="C10" s="8" t="s">
        <v>14</v>
      </c>
    </row>
    <row r="11" ht="15.75" customHeight="1">
      <c r="A11" s="6" t="s">
        <v>15</v>
      </c>
      <c r="B11" s="12">
        <f>IFERROR(-PMT(B10,B7,B5),0)</f>
        <v>68355.25952</v>
      </c>
      <c r="C11" s="8" t="s">
        <v>14</v>
      </c>
    </row>
    <row r="12" ht="15.75" customHeight="1">
      <c r="A12" s="6" t="s">
        <v>16</v>
      </c>
      <c r="B12" s="13">
        <f>B5*B8</f>
        <v>20000</v>
      </c>
      <c r="C12" s="8" t="s">
        <v>17</v>
      </c>
    </row>
    <row r="15" ht="39.75" customHeight="1">
      <c r="A15" s="14" t="s">
        <v>18</v>
      </c>
      <c r="B15" s="14" t="s">
        <v>19</v>
      </c>
      <c r="C15" s="14" t="s">
        <v>20</v>
      </c>
      <c r="D15" s="14" t="s">
        <v>21</v>
      </c>
      <c r="E15" s="14" t="s">
        <v>22</v>
      </c>
      <c r="F15" s="14" t="s">
        <v>23</v>
      </c>
      <c r="G15" s="14" t="s">
        <v>24</v>
      </c>
      <c r="H15" s="14" t="s">
        <v>25</v>
      </c>
      <c r="I15" s="14" t="s">
        <v>26</v>
      </c>
    </row>
    <row r="16" ht="15.0" customHeight="1">
      <c r="A16" s="15">
        <v>1.0</v>
      </c>
      <c r="B16" s="16">
        <f>DATE(YEAR(DATE(2026,3,1)),MONTH(DATE(2026,3,1))+1-1,DAY(DATE(2026,3,1)))</f>
        <v>46082</v>
      </c>
      <c r="C16" s="17">
        <f>B5</f>
        <v>2000000</v>
      </c>
      <c r="D16" s="17">
        <f t="shared" ref="D16:D51" si="1">$B$11</f>
        <v>68355.25952</v>
      </c>
      <c r="E16" s="17">
        <f t="shared" ref="E16:E51" si="2">C16*$B$10</f>
        <v>23333.33333</v>
      </c>
      <c r="F16" s="17">
        <f t="shared" ref="F16:F51" si="3">D16-E16</f>
        <v>45021.92618</v>
      </c>
      <c r="G16" s="17">
        <f t="shared" ref="G16:G51" si="4">MAX(C16-F16,0)</f>
        <v>1954978.074</v>
      </c>
      <c r="H16" s="18">
        <f t="shared" ref="H16:H51" si="5">1-(G16/$B$5)</f>
        <v>0.02251096309</v>
      </c>
      <c r="I16" s="17">
        <f>E16</f>
        <v>23333.33333</v>
      </c>
    </row>
    <row r="17" ht="15.0" customHeight="1">
      <c r="A17" s="19">
        <v>2.0</v>
      </c>
      <c r="B17" s="20">
        <f>DATE(YEAR(DATE(2026,3,1)),MONTH(DATE(2026,3,1))+2-1,DAY(DATE(2026,3,1)))</f>
        <v>46113</v>
      </c>
      <c r="C17" s="21">
        <f t="shared" ref="C17:C51" si="6">G16</f>
        <v>1954978.074</v>
      </c>
      <c r="D17" s="21">
        <f t="shared" si="1"/>
        <v>68355.25952</v>
      </c>
      <c r="E17" s="21">
        <f t="shared" si="2"/>
        <v>22808.07753</v>
      </c>
      <c r="F17" s="21">
        <f t="shared" si="3"/>
        <v>45547.18199</v>
      </c>
      <c r="G17" s="21">
        <f t="shared" si="4"/>
        <v>1909430.892</v>
      </c>
      <c r="H17" s="22">
        <f t="shared" si="5"/>
        <v>0.04528455409</v>
      </c>
      <c r="I17" s="21">
        <f t="shared" ref="I17:I51" si="7">I16+E17</f>
        <v>46141.41086</v>
      </c>
    </row>
    <row r="18" ht="15.0" customHeight="1">
      <c r="A18" s="15">
        <v>3.0</v>
      </c>
      <c r="B18" s="16">
        <f>DATE(YEAR(DATE(2026,3,1)),MONTH(DATE(2026,3,1))+3-1,DAY(DATE(2026,3,1)))</f>
        <v>46143</v>
      </c>
      <c r="C18" s="17">
        <f t="shared" si="6"/>
        <v>1909430.892</v>
      </c>
      <c r="D18" s="17">
        <f t="shared" si="1"/>
        <v>68355.25952</v>
      </c>
      <c r="E18" s="17">
        <f t="shared" si="2"/>
        <v>22276.69374</v>
      </c>
      <c r="F18" s="17">
        <f t="shared" si="3"/>
        <v>46078.56578</v>
      </c>
      <c r="G18" s="17">
        <f t="shared" si="4"/>
        <v>1863352.326</v>
      </c>
      <c r="H18" s="18">
        <f t="shared" si="5"/>
        <v>0.06832383697</v>
      </c>
      <c r="I18" s="17">
        <f t="shared" si="7"/>
        <v>68418.1046</v>
      </c>
    </row>
    <row r="19" ht="15.0" customHeight="1">
      <c r="A19" s="19">
        <v>4.0</v>
      </c>
      <c r="B19" s="20">
        <f>DATE(YEAR(DATE(2026,3,1)),MONTH(DATE(2026,3,1))+4-1,DAY(DATE(2026,3,1)))</f>
        <v>46174</v>
      </c>
      <c r="C19" s="21">
        <f t="shared" si="6"/>
        <v>1863352.326</v>
      </c>
      <c r="D19" s="21">
        <f t="shared" si="1"/>
        <v>68355.25952</v>
      </c>
      <c r="E19" s="21">
        <f t="shared" si="2"/>
        <v>21739.11047</v>
      </c>
      <c r="F19" s="21">
        <f t="shared" si="3"/>
        <v>46616.14905</v>
      </c>
      <c r="G19" s="21">
        <f t="shared" si="4"/>
        <v>1816736.177</v>
      </c>
      <c r="H19" s="22">
        <f t="shared" si="5"/>
        <v>0.0916319115</v>
      </c>
      <c r="I19" s="21">
        <f t="shared" si="7"/>
        <v>90157.21507</v>
      </c>
    </row>
    <row r="20" ht="15.0" customHeight="1">
      <c r="A20" s="15">
        <v>5.0</v>
      </c>
      <c r="B20" s="16">
        <f>DATE(YEAR(DATE(2026,3,1)),MONTH(DATE(2026,3,1))+5-1,DAY(DATE(2026,3,1)))</f>
        <v>46204</v>
      </c>
      <c r="C20" s="17">
        <f t="shared" si="6"/>
        <v>1816736.177</v>
      </c>
      <c r="D20" s="17">
        <f t="shared" si="1"/>
        <v>68355.25952</v>
      </c>
      <c r="E20" s="17">
        <f t="shared" si="2"/>
        <v>21195.2554</v>
      </c>
      <c r="F20" s="17">
        <f t="shared" si="3"/>
        <v>47160.00412</v>
      </c>
      <c r="G20" s="17">
        <f t="shared" si="4"/>
        <v>1769576.173</v>
      </c>
      <c r="H20" s="18">
        <f t="shared" si="5"/>
        <v>0.1152119136</v>
      </c>
      <c r="I20" s="17">
        <f t="shared" si="7"/>
        <v>111352.4705</v>
      </c>
    </row>
    <row r="21" ht="15.0" customHeight="1">
      <c r="A21" s="19">
        <v>6.0</v>
      </c>
      <c r="B21" s="20">
        <f>DATE(YEAR(DATE(2026,3,1)),MONTH(DATE(2026,3,1))+6-1,DAY(DATE(2026,3,1)))</f>
        <v>46235</v>
      </c>
      <c r="C21" s="21">
        <f t="shared" si="6"/>
        <v>1769576.173</v>
      </c>
      <c r="D21" s="21">
        <f t="shared" si="1"/>
        <v>68355.25952</v>
      </c>
      <c r="E21" s="21">
        <f t="shared" si="2"/>
        <v>20645.05535</v>
      </c>
      <c r="F21" s="21">
        <f t="shared" si="3"/>
        <v>47710.20417</v>
      </c>
      <c r="G21" s="21">
        <f t="shared" si="4"/>
        <v>1721865.969</v>
      </c>
      <c r="H21" s="22">
        <f t="shared" si="5"/>
        <v>0.1390670156</v>
      </c>
      <c r="I21" s="21">
        <f t="shared" si="7"/>
        <v>131997.5258</v>
      </c>
    </row>
    <row r="22" ht="15.0" customHeight="1">
      <c r="A22" s="15">
        <v>7.0</v>
      </c>
      <c r="B22" s="16">
        <f>DATE(YEAR(DATE(2026,3,1)),MONTH(DATE(2026,3,1))+7-1,DAY(DATE(2026,3,1)))</f>
        <v>46266</v>
      </c>
      <c r="C22" s="17">
        <f t="shared" si="6"/>
        <v>1721865.969</v>
      </c>
      <c r="D22" s="17">
        <f t="shared" si="1"/>
        <v>68355.25952</v>
      </c>
      <c r="E22" s="17">
        <f t="shared" si="2"/>
        <v>20088.4363</v>
      </c>
      <c r="F22" s="17">
        <f t="shared" si="3"/>
        <v>48266.82321</v>
      </c>
      <c r="G22" s="17">
        <f t="shared" si="4"/>
        <v>1673599.146</v>
      </c>
      <c r="H22" s="18">
        <f t="shared" si="5"/>
        <v>0.1632004272</v>
      </c>
      <c r="I22" s="17">
        <f t="shared" si="7"/>
        <v>152085.9621</v>
      </c>
    </row>
    <row r="23" ht="15.0" customHeight="1">
      <c r="A23" s="19">
        <v>8.0</v>
      </c>
      <c r="B23" s="20">
        <f>DATE(YEAR(DATE(2026,3,1)),MONTH(DATE(2026,3,1))+8-1,DAY(DATE(2026,3,1)))</f>
        <v>46296</v>
      </c>
      <c r="C23" s="21">
        <f t="shared" si="6"/>
        <v>1673599.146</v>
      </c>
      <c r="D23" s="21">
        <f t="shared" si="1"/>
        <v>68355.25952</v>
      </c>
      <c r="E23" s="21">
        <f t="shared" si="2"/>
        <v>19525.32336</v>
      </c>
      <c r="F23" s="21">
        <f t="shared" si="3"/>
        <v>48829.93615</v>
      </c>
      <c r="G23" s="21">
        <f t="shared" si="4"/>
        <v>1624769.209</v>
      </c>
      <c r="H23" s="22">
        <f t="shared" si="5"/>
        <v>0.1876153953</v>
      </c>
      <c r="I23" s="21">
        <f t="shared" si="7"/>
        <v>171611.2855</v>
      </c>
    </row>
    <row r="24" ht="15.0" customHeight="1">
      <c r="A24" s="15">
        <v>9.0</v>
      </c>
      <c r="B24" s="16">
        <f>DATE(YEAR(DATE(2026,3,1)),MONTH(DATE(2026,3,1))+9-1,DAY(DATE(2026,3,1)))</f>
        <v>46327</v>
      </c>
      <c r="C24" s="17">
        <f t="shared" si="6"/>
        <v>1624769.209</v>
      </c>
      <c r="D24" s="17">
        <f t="shared" si="1"/>
        <v>68355.25952</v>
      </c>
      <c r="E24" s="17">
        <f t="shared" si="2"/>
        <v>18955.64078</v>
      </c>
      <c r="F24" s="17">
        <f t="shared" si="3"/>
        <v>49399.61874</v>
      </c>
      <c r="G24" s="17">
        <f t="shared" si="4"/>
        <v>1575369.591</v>
      </c>
      <c r="H24" s="18">
        <f t="shared" si="5"/>
        <v>0.2123152047</v>
      </c>
      <c r="I24" s="17">
        <f t="shared" si="7"/>
        <v>190566.9263</v>
      </c>
    </row>
    <row r="25" ht="15.0" customHeight="1">
      <c r="A25" s="19">
        <v>10.0</v>
      </c>
      <c r="B25" s="20">
        <f>DATE(YEAR(DATE(2026,3,1)),MONTH(DATE(2026,3,1))+10-1,DAY(DATE(2026,3,1)))</f>
        <v>46357</v>
      </c>
      <c r="C25" s="21">
        <f t="shared" si="6"/>
        <v>1575369.591</v>
      </c>
      <c r="D25" s="21">
        <f t="shared" si="1"/>
        <v>68355.25952</v>
      </c>
      <c r="E25" s="21">
        <f t="shared" si="2"/>
        <v>18379.31189</v>
      </c>
      <c r="F25" s="21">
        <f t="shared" si="3"/>
        <v>49975.94763</v>
      </c>
      <c r="G25" s="21">
        <f t="shared" si="4"/>
        <v>1525393.643</v>
      </c>
      <c r="H25" s="22">
        <f t="shared" si="5"/>
        <v>0.2373031785</v>
      </c>
      <c r="I25" s="21">
        <f t="shared" si="7"/>
        <v>208946.2382</v>
      </c>
    </row>
    <row r="26" ht="15.0" customHeight="1">
      <c r="A26" s="15">
        <v>11.0</v>
      </c>
      <c r="B26" s="16">
        <f>DATE(YEAR(DATE(2026,3,1)),MONTH(DATE(2026,3,1))+11-1,DAY(DATE(2026,3,1)))</f>
        <v>46388</v>
      </c>
      <c r="C26" s="17">
        <f t="shared" si="6"/>
        <v>1525393.643</v>
      </c>
      <c r="D26" s="17">
        <f t="shared" si="1"/>
        <v>68355.25952</v>
      </c>
      <c r="E26" s="17">
        <f t="shared" si="2"/>
        <v>17796.25917</v>
      </c>
      <c r="F26" s="17">
        <f t="shared" si="3"/>
        <v>50559.00035</v>
      </c>
      <c r="G26" s="17">
        <f t="shared" si="4"/>
        <v>1474834.643</v>
      </c>
      <c r="H26" s="18">
        <f t="shared" si="5"/>
        <v>0.2625826787</v>
      </c>
      <c r="I26" s="17">
        <f t="shared" si="7"/>
        <v>226742.4973</v>
      </c>
    </row>
    <row r="27" ht="15.0" customHeight="1">
      <c r="A27" s="19">
        <v>12.0</v>
      </c>
      <c r="B27" s="20">
        <f>DATE(YEAR(DATE(2026,3,1)),MONTH(DATE(2026,3,1))+12-1,DAY(DATE(2026,3,1)))</f>
        <v>46419</v>
      </c>
      <c r="C27" s="21">
        <f t="shared" si="6"/>
        <v>1474834.643</v>
      </c>
      <c r="D27" s="21">
        <f t="shared" si="1"/>
        <v>68355.25952</v>
      </c>
      <c r="E27" s="21">
        <f t="shared" si="2"/>
        <v>17206.40416</v>
      </c>
      <c r="F27" s="21">
        <f t="shared" si="3"/>
        <v>51148.85535</v>
      </c>
      <c r="G27" s="21">
        <f t="shared" si="4"/>
        <v>1423685.787</v>
      </c>
      <c r="H27" s="22">
        <f t="shared" si="5"/>
        <v>0.2881571064</v>
      </c>
      <c r="I27" s="21">
        <f t="shared" si="7"/>
        <v>243948.9015</v>
      </c>
    </row>
    <row r="28" ht="15.0" customHeight="1">
      <c r="A28" s="15">
        <v>13.0</v>
      </c>
      <c r="B28" s="16">
        <f>DATE(YEAR(DATE(2026,3,1)),MONTH(DATE(2026,3,1))+13-1,DAY(DATE(2026,3,1)))</f>
        <v>46447</v>
      </c>
      <c r="C28" s="17">
        <f t="shared" si="6"/>
        <v>1423685.787</v>
      </c>
      <c r="D28" s="17">
        <f t="shared" si="1"/>
        <v>68355.25952</v>
      </c>
      <c r="E28" s="17">
        <f t="shared" si="2"/>
        <v>16609.66752</v>
      </c>
      <c r="F28" s="17">
        <f t="shared" si="3"/>
        <v>51745.592</v>
      </c>
      <c r="G28" s="17">
        <f t="shared" si="4"/>
        <v>1371940.195</v>
      </c>
      <c r="H28" s="18">
        <f t="shared" si="5"/>
        <v>0.3140299024</v>
      </c>
      <c r="I28" s="17">
        <f t="shared" si="7"/>
        <v>260558.569</v>
      </c>
    </row>
    <row r="29" ht="15.0" customHeight="1">
      <c r="A29" s="19">
        <v>14.0</v>
      </c>
      <c r="B29" s="20">
        <f>DATE(YEAR(DATE(2026,3,1)),MONTH(DATE(2026,3,1))+14-1,DAY(DATE(2026,3,1)))</f>
        <v>46478</v>
      </c>
      <c r="C29" s="21">
        <f t="shared" si="6"/>
        <v>1371940.195</v>
      </c>
      <c r="D29" s="21">
        <f t="shared" si="1"/>
        <v>68355.25952</v>
      </c>
      <c r="E29" s="21">
        <f t="shared" si="2"/>
        <v>16005.96895</v>
      </c>
      <c r="F29" s="21">
        <f t="shared" si="3"/>
        <v>52349.29057</v>
      </c>
      <c r="G29" s="21">
        <f t="shared" si="4"/>
        <v>1319590.905</v>
      </c>
      <c r="H29" s="22">
        <f t="shared" si="5"/>
        <v>0.3402045476</v>
      </c>
      <c r="I29" s="21">
        <f t="shared" si="7"/>
        <v>276564.5379</v>
      </c>
    </row>
    <row r="30" ht="15.0" customHeight="1">
      <c r="A30" s="15">
        <v>15.0</v>
      </c>
      <c r="B30" s="16">
        <f>DATE(YEAR(DATE(2026,3,1)),MONTH(DATE(2026,3,1))+15-1,DAY(DATE(2026,3,1)))</f>
        <v>46508</v>
      </c>
      <c r="C30" s="17">
        <f t="shared" si="6"/>
        <v>1319590.905</v>
      </c>
      <c r="D30" s="17">
        <f t="shared" si="1"/>
        <v>68355.25952</v>
      </c>
      <c r="E30" s="17">
        <f t="shared" si="2"/>
        <v>15395.22722</v>
      </c>
      <c r="F30" s="17">
        <f t="shared" si="3"/>
        <v>52960.03229</v>
      </c>
      <c r="G30" s="17">
        <f t="shared" si="4"/>
        <v>1266630.872</v>
      </c>
      <c r="H30" s="18">
        <f t="shared" si="5"/>
        <v>0.3666845638</v>
      </c>
      <c r="I30" s="17">
        <f t="shared" si="7"/>
        <v>291959.7652</v>
      </c>
    </row>
    <row r="31" ht="15.0" customHeight="1">
      <c r="A31" s="19">
        <v>16.0</v>
      </c>
      <c r="B31" s="20">
        <f>DATE(YEAR(DATE(2026,3,1)),MONTH(DATE(2026,3,1))+16-1,DAY(DATE(2026,3,1)))</f>
        <v>46539</v>
      </c>
      <c r="C31" s="21">
        <f t="shared" si="6"/>
        <v>1266630.872</v>
      </c>
      <c r="D31" s="21">
        <f t="shared" si="1"/>
        <v>68355.25952</v>
      </c>
      <c r="E31" s="21">
        <f t="shared" si="2"/>
        <v>14777.36018</v>
      </c>
      <c r="F31" s="21">
        <f t="shared" si="3"/>
        <v>53577.89934</v>
      </c>
      <c r="G31" s="21">
        <f t="shared" si="4"/>
        <v>1213052.973</v>
      </c>
      <c r="H31" s="22">
        <f t="shared" si="5"/>
        <v>0.3934735135</v>
      </c>
      <c r="I31" s="21">
        <f t="shared" si="7"/>
        <v>306737.1253</v>
      </c>
    </row>
    <row r="32" ht="15.0" customHeight="1">
      <c r="A32" s="15">
        <v>17.0</v>
      </c>
      <c r="B32" s="16">
        <f>DATE(YEAR(DATE(2026,3,1)),MONTH(DATE(2026,3,1))+17-1,DAY(DATE(2026,3,1)))</f>
        <v>46569</v>
      </c>
      <c r="C32" s="17">
        <f t="shared" si="6"/>
        <v>1213052.973</v>
      </c>
      <c r="D32" s="17">
        <f t="shared" si="1"/>
        <v>68355.25952</v>
      </c>
      <c r="E32" s="17">
        <f t="shared" si="2"/>
        <v>14152.28469</v>
      </c>
      <c r="F32" s="17">
        <f t="shared" si="3"/>
        <v>54202.97483</v>
      </c>
      <c r="G32" s="17">
        <f t="shared" si="4"/>
        <v>1158849.998</v>
      </c>
      <c r="H32" s="18">
        <f t="shared" si="5"/>
        <v>0.4205750009</v>
      </c>
      <c r="I32" s="17">
        <f t="shared" si="7"/>
        <v>320889.41</v>
      </c>
    </row>
    <row r="33" ht="15.0" customHeight="1">
      <c r="A33" s="19">
        <v>18.0</v>
      </c>
      <c r="B33" s="20">
        <f>DATE(YEAR(DATE(2026,3,1)),MONTH(DATE(2026,3,1))+18-1,DAY(DATE(2026,3,1)))</f>
        <v>46600</v>
      </c>
      <c r="C33" s="21">
        <f t="shared" si="6"/>
        <v>1158849.998</v>
      </c>
      <c r="D33" s="21">
        <f t="shared" si="1"/>
        <v>68355.25952</v>
      </c>
      <c r="E33" s="21">
        <f t="shared" si="2"/>
        <v>13519.91665</v>
      </c>
      <c r="F33" s="21">
        <f t="shared" si="3"/>
        <v>54835.34287</v>
      </c>
      <c r="G33" s="21">
        <f t="shared" si="4"/>
        <v>1104014.655</v>
      </c>
      <c r="H33" s="22">
        <f t="shared" si="5"/>
        <v>0.4479926723</v>
      </c>
      <c r="I33" s="21">
        <f t="shared" si="7"/>
        <v>334409.3267</v>
      </c>
    </row>
    <row r="34" ht="15.0" customHeight="1">
      <c r="A34" s="15">
        <v>19.0</v>
      </c>
      <c r="B34" s="16">
        <f>DATE(YEAR(DATE(2026,3,1)),MONTH(DATE(2026,3,1))+19-1,DAY(DATE(2026,3,1)))</f>
        <v>46631</v>
      </c>
      <c r="C34" s="17">
        <f t="shared" si="6"/>
        <v>1104014.655</v>
      </c>
      <c r="D34" s="17">
        <f t="shared" si="1"/>
        <v>68355.25952</v>
      </c>
      <c r="E34" s="17">
        <f t="shared" si="2"/>
        <v>12880.17098</v>
      </c>
      <c r="F34" s="17">
        <f t="shared" si="3"/>
        <v>55475.08854</v>
      </c>
      <c r="G34" s="17">
        <f t="shared" si="4"/>
        <v>1048539.567</v>
      </c>
      <c r="H34" s="18">
        <f t="shared" si="5"/>
        <v>0.4757302166</v>
      </c>
      <c r="I34" s="17">
        <f t="shared" si="7"/>
        <v>347289.4977</v>
      </c>
    </row>
    <row r="35" ht="15.0" customHeight="1">
      <c r="A35" s="19">
        <v>20.0</v>
      </c>
      <c r="B35" s="20">
        <f>DATE(YEAR(DATE(2026,3,1)),MONTH(DATE(2026,3,1))+20-1,DAY(DATE(2026,3,1)))</f>
        <v>46661</v>
      </c>
      <c r="C35" s="21">
        <f t="shared" si="6"/>
        <v>1048539.567</v>
      </c>
      <c r="D35" s="21">
        <f t="shared" si="1"/>
        <v>68355.25952</v>
      </c>
      <c r="E35" s="21">
        <f t="shared" si="2"/>
        <v>12232.96161</v>
      </c>
      <c r="F35" s="21">
        <f t="shared" si="3"/>
        <v>56122.2979</v>
      </c>
      <c r="G35" s="21">
        <f t="shared" si="4"/>
        <v>992417.269</v>
      </c>
      <c r="H35" s="22">
        <f t="shared" si="5"/>
        <v>0.5037913655</v>
      </c>
      <c r="I35" s="21">
        <f t="shared" si="7"/>
        <v>359522.4593</v>
      </c>
    </row>
    <row r="36" ht="15.0" customHeight="1">
      <c r="A36" s="15">
        <v>21.0</v>
      </c>
      <c r="B36" s="16">
        <f>DATE(YEAR(DATE(2026,3,1)),MONTH(DATE(2026,3,1))+21-1,DAY(DATE(2026,3,1)))</f>
        <v>46692</v>
      </c>
      <c r="C36" s="17">
        <f t="shared" si="6"/>
        <v>992417.269</v>
      </c>
      <c r="D36" s="17">
        <f t="shared" si="1"/>
        <v>68355.25952</v>
      </c>
      <c r="E36" s="17">
        <f t="shared" si="2"/>
        <v>11578.20147</v>
      </c>
      <c r="F36" s="17">
        <f t="shared" si="3"/>
        <v>56777.05804</v>
      </c>
      <c r="G36" s="17">
        <f t="shared" si="4"/>
        <v>935640.2109</v>
      </c>
      <c r="H36" s="18">
        <f t="shared" si="5"/>
        <v>0.5321798945</v>
      </c>
      <c r="I36" s="17">
        <f t="shared" si="7"/>
        <v>371100.6607</v>
      </c>
    </row>
    <row r="37" ht="15.0" customHeight="1">
      <c r="A37" s="19">
        <v>22.0</v>
      </c>
      <c r="B37" s="20">
        <f>DATE(YEAR(DATE(2026,3,1)),MONTH(DATE(2026,3,1))+22-1,DAY(DATE(2026,3,1)))</f>
        <v>46722</v>
      </c>
      <c r="C37" s="21">
        <f t="shared" si="6"/>
        <v>935640.2109</v>
      </c>
      <c r="D37" s="21">
        <f t="shared" si="1"/>
        <v>68355.25952</v>
      </c>
      <c r="E37" s="21">
        <f t="shared" si="2"/>
        <v>10915.80246</v>
      </c>
      <c r="F37" s="21">
        <f t="shared" si="3"/>
        <v>57439.45706</v>
      </c>
      <c r="G37" s="21">
        <f t="shared" si="4"/>
        <v>878200.7539</v>
      </c>
      <c r="H37" s="22">
        <f t="shared" si="5"/>
        <v>0.5608996231</v>
      </c>
      <c r="I37" s="21">
        <f t="shared" si="7"/>
        <v>382016.4632</v>
      </c>
    </row>
    <row r="38" ht="15.0" customHeight="1">
      <c r="A38" s="15">
        <v>23.0</v>
      </c>
      <c r="B38" s="16">
        <f>DATE(YEAR(DATE(2026,3,1)),MONTH(DATE(2026,3,1))+23-1,DAY(DATE(2026,3,1)))</f>
        <v>46753</v>
      </c>
      <c r="C38" s="17">
        <f t="shared" si="6"/>
        <v>878200.7539</v>
      </c>
      <c r="D38" s="17">
        <f t="shared" si="1"/>
        <v>68355.25952</v>
      </c>
      <c r="E38" s="17">
        <f t="shared" si="2"/>
        <v>10245.67546</v>
      </c>
      <c r="F38" s="17">
        <f t="shared" si="3"/>
        <v>58109.58405</v>
      </c>
      <c r="G38" s="17">
        <f t="shared" si="4"/>
        <v>820091.1698</v>
      </c>
      <c r="H38" s="18">
        <f t="shared" si="5"/>
        <v>0.5899544151</v>
      </c>
      <c r="I38" s="17">
        <f t="shared" si="7"/>
        <v>392262.1387</v>
      </c>
    </row>
    <row r="39" ht="15.0" customHeight="1">
      <c r="A39" s="19">
        <v>24.0</v>
      </c>
      <c r="B39" s="20">
        <f>DATE(YEAR(DATE(2026,3,1)),MONTH(DATE(2026,3,1))+24-1,DAY(DATE(2026,3,1)))</f>
        <v>46784</v>
      </c>
      <c r="C39" s="21">
        <f t="shared" si="6"/>
        <v>820091.1698</v>
      </c>
      <c r="D39" s="21">
        <f t="shared" si="1"/>
        <v>68355.25952</v>
      </c>
      <c r="E39" s="21">
        <f t="shared" si="2"/>
        <v>9567.730314</v>
      </c>
      <c r="F39" s="21">
        <f t="shared" si="3"/>
        <v>58787.5292</v>
      </c>
      <c r="G39" s="21">
        <f t="shared" si="4"/>
        <v>761303.6406</v>
      </c>
      <c r="H39" s="22">
        <f t="shared" si="5"/>
        <v>0.6193481797</v>
      </c>
      <c r="I39" s="21">
        <f t="shared" si="7"/>
        <v>401829.869</v>
      </c>
    </row>
    <row r="40" ht="15.0" customHeight="1">
      <c r="A40" s="15">
        <v>25.0</v>
      </c>
      <c r="B40" s="16">
        <f>DATE(YEAR(DATE(2026,3,1)),MONTH(DATE(2026,3,1))+25-1,DAY(DATE(2026,3,1)))</f>
        <v>46813</v>
      </c>
      <c r="C40" s="17">
        <f t="shared" si="6"/>
        <v>761303.6406</v>
      </c>
      <c r="D40" s="17">
        <f t="shared" si="1"/>
        <v>68355.25952</v>
      </c>
      <c r="E40" s="17">
        <f t="shared" si="2"/>
        <v>8881.875807</v>
      </c>
      <c r="F40" s="17">
        <f t="shared" si="3"/>
        <v>59473.38371</v>
      </c>
      <c r="G40" s="17">
        <f t="shared" si="4"/>
        <v>701830.2569</v>
      </c>
      <c r="H40" s="18">
        <f t="shared" si="5"/>
        <v>0.6490848716</v>
      </c>
      <c r="I40" s="17">
        <f t="shared" si="7"/>
        <v>410711.7448</v>
      </c>
    </row>
    <row r="41" ht="15.0" customHeight="1">
      <c r="A41" s="19">
        <v>26.0</v>
      </c>
      <c r="B41" s="20">
        <f>DATE(YEAR(DATE(2026,3,1)),MONTH(DATE(2026,3,1))+26-1,DAY(DATE(2026,3,1)))</f>
        <v>46844</v>
      </c>
      <c r="C41" s="21">
        <f t="shared" si="6"/>
        <v>701830.2569</v>
      </c>
      <c r="D41" s="21">
        <f t="shared" si="1"/>
        <v>68355.25952</v>
      </c>
      <c r="E41" s="21">
        <f t="shared" si="2"/>
        <v>8188.019664</v>
      </c>
      <c r="F41" s="21">
        <f t="shared" si="3"/>
        <v>60167.23985</v>
      </c>
      <c r="G41" s="21">
        <f t="shared" si="4"/>
        <v>641663.017</v>
      </c>
      <c r="H41" s="22">
        <f t="shared" si="5"/>
        <v>0.6791684915</v>
      </c>
      <c r="I41" s="21">
        <f t="shared" si="7"/>
        <v>418899.7645</v>
      </c>
    </row>
    <row r="42" ht="15.0" customHeight="1">
      <c r="A42" s="15">
        <v>27.0</v>
      </c>
      <c r="B42" s="16">
        <f>DATE(YEAR(DATE(2026,3,1)),MONTH(DATE(2026,3,1))+27-1,DAY(DATE(2026,3,1)))</f>
        <v>46874</v>
      </c>
      <c r="C42" s="17">
        <f t="shared" si="6"/>
        <v>641663.017</v>
      </c>
      <c r="D42" s="17">
        <f t="shared" si="1"/>
        <v>68355.25952</v>
      </c>
      <c r="E42" s="17">
        <f t="shared" si="2"/>
        <v>7486.068532</v>
      </c>
      <c r="F42" s="17">
        <f t="shared" si="3"/>
        <v>60869.19098</v>
      </c>
      <c r="G42" s="17">
        <f t="shared" si="4"/>
        <v>580793.826</v>
      </c>
      <c r="H42" s="18">
        <f t="shared" si="5"/>
        <v>0.709603087</v>
      </c>
      <c r="I42" s="17">
        <f t="shared" si="7"/>
        <v>426385.833</v>
      </c>
    </row>
    <row r="43" ht="15.0" customHeight="1">
      <c r="A43" s="19">
        <v>28.0</v>
      </c>
      <c r="B43" s="20">
        <f>DATE(YEAR(DATE(2026,3,1)),MONTH(DATE(2026,3,1))+28-1,DAY(DATE(2026,3,1)))</f>
        <v>46905</v>
      </c>
      <c r="C43" s="21">
        <f t="shared" si="6"/>
        <v>580793.826</v>
      </c>
      <c r="D43" s="21">
        <f t="shared" si="1"/>
        <v>68355.25952</v>
      </c>
      <c r="E43" s="21">
        <f t="shared" si="2"/>
        <v>6775.927971</v>
      </c>
      <c r="F43" s="21">
        <f t="shared" si="3"/>
        <v>61579.33155</v>
      </c>
      <c r="G43" s="21">
        <f t="shared" si="4"/>
        <v>519214.4945</v>
      </c>
      <c r="H43" s="22">
        <f t="shared" si="5"/>
        <v>0.7403927527</v>
      </c>
      <c r="I43" s="21">
        <f t="shared" si="7"/>
        <v>433161.761</v>
      </c>
    </row>
    <row r="44" ht="15.0" customHeight="1">
      <c r="A44" s="15">
        <v>29.0</v>
      </c>
      <c r="B44" s="16">
        <f>DATE(YEAR(DATE(2026,3,1)),MONTH(DATE(2026,3,1))+29-1,DAY(DATE(2026,3,1)))</f>
        <v>46935</v>
      </c>
      <c r="C44" s="17">
        <f t="shared" si="6"/>
        <v>519214.4945</v>
      </c>
      <c r="D44" s="17">
        <f t="shared" si="1"/>
        <v>68355.25952</v>
      </c>
      <c r="E44" s="17">
        <f t="shared" si="2"/>
        <v>6057.502436</v>
      </c>
      <c r="F44" s="17">
        <f t="shared" si="3"/>
        <v>62297.75708</v>
      </c>
      <c r="G44" s="17">
        <f t="shared" si="4"/>
        <v>456916.7374</v>
      </c>
      <c r="H44" s="18">
        <f t="shared" si="5"/>
        <v>0.7715416313</v>
      </c>
      <c r="I44" s="17">
        <f t="shared" si="7"/>
        <v>439219.2634</v>
      </c>
    </row>
    <row r="45" ht="15.0" customHeight="1">
      <c r="A45" s="19">
        <v>30.0</v>
      </c>
      <c r="B45" s="20">
        <f>DATE(YEAR(DATE(2026,3,1)),MONTH(DATE(2026,3,1))+30-1,DAY(DATE(2026,3,1)))</f>
        <v>46966</v>
      </c>
      <c r="C45" s="21">
        <f t="shared" si="6"/>
        <v>456916.7374</v>
      </c>
      <c r="D45" s="21">
        <f t="shared" si="1"/>
        <v>68355.25952</v>
      </c>
      <c r="E45" s="21">
        <f t="shared" si="2"/>
        <v>5330.69527</v>
      </c>
      <c r="F45" s="21">
        <f t="shared" si="3"/>
        <v>63024.56425</v>
      </c>
      <c r="G45" s="21">
        <f t="shared" si="4"/>
        <v>393892.1732</v>
      </c>
      <c r="H45" s="22">
        <f t="shared" si="5"/>
        <v>0.8030539134</v>
      </c>
      <c r="I45" s="21">
        <f t="shared" si="7"/>
        <v>444549.9587</v>
      </c>
    </row>
    <row r="46" ht="15.0" customHeight="1">
      <c r="A46" s="15">
        <v>31.0</v>
      </c>
      <c r="B46" s="16">
        <f>DATE(YEAR(DATE(2026,3,1)),MONTH(DATE(2026,3,1))+31-1,DAY(DATE(2026,3,1)))</f>
        <v>46997</v>
      </c>
      <c r="C46" s="17">
        <f t="shared" si="6"/>
        <v>393892.1732</v>
      </c>
      <c r="D46" s="17">
        <f t="shared" si="1"/>
        <v>68355.25952</v>
      </c>
      <c r="E46" s="17">
        <f t="shared" si="2"/>
        <v>4595.408687</v>
      </c>
      <c r="F46" s="17">
        <f t="shared" si="3"/>
        <v>63759.85083</v>
      </c>
      <c r="G46" s="17">
        <f t="shared" si="4"/>
        <v>330132.3223</v>
      </c>
      <c r="H46" s="18">
        <f t="shared" si="5"/>
        <v>0.8349338388</v>
      </c>
      <c r="I46" s="17">
        <f t="shared" si="7"/>
        <v>449145.3673</v>
      </c>
    </row>
    <row r="47" ht="15.0" customHeight="1">
      <c r="A47" s="19">
        <v>32.0</v>
      </c>
      <c r="B47" s="20">
        <f>DATE(YEAR(DATE(2026,3,1)),MONTH(DATE(2026,3,1))+32-1,DAY(DATE(2026,3,1)))</f>
        <v>47027</v>
      </c>
      <c r="C47" s="21">
        <f t="shared" si="6"/>
        <v>330132.3223</v>
      </c>
      <c r="D47" s="21">
        <f t="shared" si="1"/>
        <v>68355.25952</v>
      </c>
      <c r="E47" s="21">
        <f t="shared" si="2"/>
        <v>3851.543761</v>
      </c>
      <c r="F47" s="21">
        <f t="shared" si="3"/>
        <v>64503.71576</v>
      </c>
      <c r="G47" s="21">
        <f t="shared" si="4"/>
        <v>265628.6066</v>
      </c>
      <c r="H47" s="22">
        <f t="shared" si="5"/>
        <v>0.8671856967</v>
      </c>
      <c r="I47" s="21">
        <f t="shared" si="7"/>
        <v>452996.9111</v>
      </c>
    </row>
    <row r="48" ht="15.0" customHeight="1">
      <c r="A48" s="15">
        <v>33.0</v>
      </c>
      <c r="B48" s="16">
        <f>DATE(YEAR(DATE(2026,3,1)),MONTH(DATE(2026,3,1))+33-1,DAY(DATE(2026,3,1)))</f>
        <v>47058</v>
      </c>
      <c r="C48" s="17">
        <f t="shared" si="6"/>
        <v>265628.6066</v>
      </c>
      <c r="D48" s="17">
        <f t="shared" si="1"/>
        <v>68355.25952</v>
      </c>
      <c r="E48" s="17">
        <f t="shared" si="2"/>
        <v>3099.00041</v>
      </c>
      <c r="F48" s="17">
        <f t="shared" si="3"/>
        <v>65256.25911</v>
      </c>
      <c r="G48" s="17">
        <f t="shared" si="4"/>
        <v>200372.3475</v>
      </c>
      <c r="H48" s="18">
        <f t="shared" si="5"/>
        <v>0.8998138263</v>
      </c>
      <c r="I48" s="17">
        <f t="shared" si="7"/>
        <v>456095.9115</v>
      </c>
    </row>
    <row r="49" ht="15.0" customHeight="1">
      <c r="A49" s="19">
        <v>34.0</v>
      </c>
      <c r="B49" s="20">
        <f>DATE(YEAR(DATE(2026,3,1)),MONTH(DATE(2026,3,1))+34-1,DAY(DATE(2026,3,1)))</f>
        <v>47088</v>
      </c>
      <c r="C49" s="21">
        <f t="shared" si="6"/>
        <v>200372.3475</v>
      </c>
      <c r="D49" s="21">
        <f t="shared" si="1"/>
        <v>68355.25952</v>
      </c>
      <c r="E49" s="21">
        <f t="shared" si="2"/>
        <v>2337.677387</v>
      </c>
      <c r="F49" s="21">
        <f t="shared" si="3"/>
        <v>66017.58213</v>
      </c>
      <c r="G49" s="21">
        <f t="shared" si="4"/>
        <v>134354.7654</v>
      </c>
      <c r="H49" s="22">
        <f t="shared" si="5"/>
        <v>0.9328226173</v>
      </c>
      <c r="I49" s="21">
        <f t="shared" si="7"/>
        <v>458433.5889</v>
      </c>
    </row>
    <row r="50" ht="15.0" customHeight="1">
      <c r="A50" s="15">
        <v>35.0</v>
      </c>
      <c r="B50" s="16">
        <f>DATE(YEAR(DATE(2026,3,1)),MONTH(DATE(2026,3,1))+35-1,DAY(DATE(2026,3,1)))</f>
        <v>47119</v>
      </c>
      <c r="C50" s="17">
        <f t="shared" si="6"/>
        <v>134354.7654</v>
      </c>
      <c r="D50" s="17">
        <f t="shared" si="1"/>
        <v>68355.25952</v>
      </c>
      <c r="E50" s="17">
        <f t="shared" si="2"/>
        <v>1567.472263</v>
      </c>
      <c r="F50" s="17">
        <f t="shared" si="3"/>
        <v>66787.78725</v>
      </c>
      <c r="G50" s="17">
        <f t="shared" si="4"/>
        <v>67566.9781</v>
      </c>
      <c r="H50" s="18">
        <f t="shared" si="5"/>
        <v>0.9662165109</v>
      </c>
      <c r="I50" s="17">
        <f t="shared" si="7"/>
        <v>460001.0612</v>
      </c>
    </row>
    <row r="51" ht="15.0" customHeight="1">
      <c r="A51" s="19">
        <v>36.0</v>
      </c>
      <c r="B51" s="20">
        <f>DATE(YEAR(DATE(2026,3,1)),MONTH(DATE(2026,3,1))+36-1,DAY(DATE(2026,3,1)))</f>
        <v>47150</v>
      </c>
      <c r="C51" s="21">
        <f t="shared" si="6"/>
        <v>67566.9781</v>
      </c>
      <c r="D51" s="21">
        <f t="shared" si="1"/>
        <v>68355.25952</v>
      </c>
      <c r="E51" s="21">
        <f t="shared" si="2"/>
        <v>788.2814112</v>
      </c>
      <c r="F51" s="21">
        <f t="shared" si="3"/>
        <v>67566.9781</v>
      </c>
      <c r="G51" s="21">
        <f t="shared" si="4"/>
        <v>0.00000001044827513</v>
      </c>
      <c r="H51" s="22">
        <f t="shared" si="5"/>
        <v>1</v>
      </c>
      <c r="I51" s="21">
        <f t="shared" si="7"/>
        <v>460789.3426</v>
      </c>
    </row>
    <row r="52" ht="18.0" customHeight="1">
      <c r="A52" s="23" t="s">
        <v>27</v>
      </c>
      <c r="B52" s="24"/>
      <c r="C52" s="24"/>
      <c r="D52" s="25">
        <f t="shared" ref="D52:F52" si="8">SUM(D16:D51)</f>
        <v>2460789.343</v>
      </c>
      <c r="E52" s="25">
        <f t="shared" si="8"/>
        <v>460789.3426</v>
      </c>
      <c r="F52" s="25">
        <f t="shared" si="8"/>
        <v>2000000</v>
      </c>
      <c r="G52" s="24"/>
      <c r="H52" s="24"/>
      <c r="I52" s="24"/>
    </row>
    <row r="53" ht="15.75" customHeight="1"/>
    <row r="54" ht="15.75" customHeight="1">
      <c r="A54" s="3" t="s">
        <v>28</v>
      </c>
      <c r="B54" s="4"/>
      <c r="C54" s="5"/>
      <c r="F54" s="26">
        <f>E52/F52</f>
        <v>0.2303946713</v>
      </c>
    </row>
    <row r="55" ht="15.75" customHeight="1">
      <c r="A55" s="6" t="s">
        <v>29</v>
      </c>
      <c r="B55" s="13">
        <f>D52</f>
        <v>2460789.343</v>
      </c>
      <c r="C55" s="27"/>
    </row>
    <row r="56" ht="15.75" customHeight="1">
      <c r="A56" s="6" t="s">
        <v>30</v>
      </c>
      <c r="B56" s="13">
        <f>E52</f>
        <v>460789.3426</v>
      </c>
      <c r="C56" s="27"/>
    </row>
    <row r="57" ht="15.75" customHeight="1">
      <c r="A57" s="6" t="s">
        <v>31</v>
      </c>
      <c r="B57" s="11">
        <f>E52/B5</f>
        <v>0.2303946713</v>
      </c>
      <c r="C57" s="27"/>
    </row>
    <row r="58" ht="15.75" customHeight="1">
      <c r="A58" s="6" t="s">
        <v>32</v>
      </c>
      <c r="B58" s="13">
        <f>B12</f>
        <v>20000</v>
      </c>
      <c r="C58" s="27"/>
    </row>
    <row r="59" ht="15.75" customHeight="1">
      <c r="A59" s="6" t="s">
        <v>33</v>
      </c>
      <c r="B59" s="13">
        <f>D52+B12</f>
        <v>2480789.343</v>
      </c>
      <c r="C59" s="27"/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I1"/>
    <mergeCell ref="A2:I2"/>
    <mergeCell ref="A4:C4"/>
    <mergeCell ref="A54:C5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2026-02-11T23:51:36Z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